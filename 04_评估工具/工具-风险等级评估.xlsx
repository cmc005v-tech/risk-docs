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风险等级评估" sheetId="2" state="visible" r:id="rId2"/>
    <sheet xmlns:r="http://schemas.openxmlformats.org/officeDocument/2006/relationships" name="评分标准参考" sheetId="3" state="visible" r:id="rId3"/>
  </sheets>
  <definedNames>
    <definedName name="_xlnm._FilterDatabase" localSheetId="1" hidden="1">'风险等级评估'!$A$1:$J$27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8"/>
      <sz val="24"/>
    </font>
    <font>
      <name val="微软雅黑"/>
      <color rgb="00555555"/>
      <sz val="11"/>
    </font>
    <font>
      <name val="微软雅黑"/>
      <sz val="10"/>
    </font>
    <font>
      <name val="微软雅黑"/>
      <b val="1"/>
      <color rgb="00FFFFFF"/>
      <sz val="12"/>
    </font>
    <font>
      <name val="微软雅黑"/>
      <b val="1"/>
    </font>
    <font>
      <name val="微软雅黑"/>
      <b val="1"/>
      <color rgb="00C00000"/>
      <sz val="13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FF6B6B"/>
          <bgColor rgb="00FF6B6B"/>
        </patternFill>
      </fill>
    </dxf>
    <dxf>
      <fill>
        <patternFill patternType="solid">
          <fgColor rgb="00FFE66D"/>
          <bgColor rgb="00FFE66D"/>
        </patternFill>
      </fill>
    </dxf>
    <dxf>
      <fill>
        <patternFill patternType="solid">
          <fgColor rgb="0095E1D3"/>
          <bgColor rgb="0095E1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 ht="50" customHeight="1">
      <c r="A1" s="1" t="inlineStr">
        <is>
          <t>企业风险等级评估表</t>
        </is>
      </c>
    </row>
    <row r="3">
      <c r="A3" s="2" t="inlineStr">
        <is>
          <t>基于《危机应对的道与术》《掘金》《重大决策社会稳定风险评估指南》《黑天鹅》《闪电战》知识体系构建</t>
        </is>
      </c>
    </row>
    <row r="5" ht="150" customHeight="1">
      <c r="A5" s="3" t="inlineStr">
        <is>
          <t>使用说明:
1. 在黄色区域填写每一评分项的实际评分(1-5分)：
   1分=几乎无风险/完全可控；2分=风险较低/容易管理；3分=风险中等/需要关注；4分=风险较高/需立即采取措施；5分=风险极高/可能致命
2. 每个维度下方自动计算"维度得分=该维度评分项平均分×权重"
3. 底部自动汇总"综合评分"并判定风险等级：
   综合评分≥4.0 = 高风险(红色)；3.0-3.9 = 中风险(黄色)；&lt;3.0 = 低风险(绿色)
4. 权重可按企业类型调整，六个维度权重合计应为100%
5. 打分完成后，依据"主要风险信号"列核查并填写"防范措施建议"</t>
        </is>
      </c>
    </row>
  </sheetData>
  <mergeCells count="3">
    <mergeCell ref="A1:K1"/>
    <mergeCell ref="A5:K5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6" customWidth="1" min="3" max="3"/>
    <col width="42" customWidth="1" min="4" max="4"/>
    <col width="12" customWidth="1" min="5" max="5"/>
    <col width="12" customWidth="1" min="6" max="6"/>
    <col width="14" customWidth="1" min="7" max="7"/>
    <col width="38" customWidth="1" min="8" max="8"/>
    <col width="38" customWidth="1" min="9" max="9"/>
    <col width="22" customWidth="1" min="10" max="10"/>
  </cols>
  <sheetData>
    <row r="1">
      <c r="A1" s="4" t="inlineStr">
        <is>
          <t>评估维度</t>
        </is>
      </c>
      <c r="B1" s="4" t="inlineStr">
        <is>
          <t>权重</t>
        </is>
      </c>
      <c r="C1" s="4" t="inlineStr">
        <is>
          <t>评分项</t>
        </is>
      </c>
      <c r="D1" s="4" t="inlineStr">
        <is>
          <t>评分标准(1-5分)</t>
        </is>
      </c>
      <c r="E1" s="4" t="inlineStr">
        <is>
          <t>实际评分</t>
        </is>
      </c>
      <c r="F1" s="4" t="inlineStr">
        <is>
          <t>加权得分</t>
        </is>
      </c>
      <c r="G1" s="4" t="inlineStr">
        <is>
          <t>单项风险等级</t>
        </is>
      </c>
      <c r="H1" s="4" t="inlineStr">
        <is>
          <t>主要风险信号</t>
        </is>
      </c>
      <c r="I1" s="4" t="inlineStr">
        <is>
          <t>防范措施建议</t>
        </is>
      </c>
      <c r="J1" s="4" t="inlineStr">
        <is>
          <t>备注</t>
        </is>
      </c>
    </row>
    <row r="2" ht="42" customHeight="1">
      <c r="A2" s="5" t="inlineStr">
        <is>
          <t>工商合规</t>
        </is>
      </c>
      <c r="B2" s="6" t="n">
        <v>0.15</v>
      </c>
      <c r="C2" s="5" t="inlineStr">
        <is>
          <t>工商登记状态</t>
        </is>
      </c>
      <c r="D2" s="5" t="inlineStr">
        <is>
          <t>是否正常存续；是否存在经营异常；是否被列入严重违法失信名单</t>
        </is>
      </c>
      <c r="E2" s="7" t="inlineStr"/>
      <c r="F2" s="8" t="n"/>
      <c r="G2" s="6">
        <f>IF(E2="","",IF(E2&gt;=4,"高风险",IF(E2&gt;=3,"中风险","低风险")))</f>
        <v/>
      </c>
      <c r="H2" s="5" t="inlineStr">
        <is>
          <t>被列入经营异常名录；存在行政处罚记录；资质过期</t>
        </is>
      </c>
      <c r="I2" s="5" t="inlineStr">
        <is>
          <t>定期核查工商状态；建立资质到期提醒机制</t>
        </is>
      </c>
      <c r="J2" s="5" t="n"/>
    </row>
    <row r="3" ht="42" customHeight="1">
      <c r="A3" s="5" t="inlineStr"/>
      <c r="B3" s="6" t="inlineStr"/>
      <c r="C3" s="5" t="inlineStr">
        <is>
          <t>股权结构稳定性</t>
        </is>
      </c>
      <c r="D3" s="5" t="inlineStr">
        <is>
          <t>股权是否清晰；是否存在频繁变更；质押/冻结比例</t>
        </is>
      </c>
      <c r="E3" s="7" t="inlineStr"/>
      <c r="F3" s="8" t="n"/>
      <c r="G3" s="6">
        <f>IF(E3="","",IF(E3&gt;=4,"高风险",IF(E3&gt;=3,"中风险","低风险")))</f>
        <v/>
      </c>
      <c r="H3" s="5" t="inlineStr">
        <is>
          <t>股权质押比例&gt;50%；存在司法冻结；实际控制人频繁变更</t>
        </is>
      </c>
      <c r="I3" s="5" t="inlineStr">
        <is>
          <t>监控股权变动；建立股东沟通机制</t>
        </is>
      </c>
      <c r="J3" s="5" t="n"/>
    </row>
    <row r="4" ht="42" customHeight="1">
      <c r="A4" s="5" t="inlineStr"/>
      <c r="B4" s="6" t="inlineStr"/>
      <c r="C4" s="5" t="inlineStr">
        <is>
          <t>资质许可有效性</t>
        </is>
      </c>
      <c r="D4" s="5" t="inlineStr">
        <is>
          <t>核心资质是否在有效期；是否存在借用/挂靠</t>
        </is>
      </c>
      <c r="E4" s="7" t="inlineStr"/>
      <c r="F4" s="8" t="n"/>
      <c r="G4" s="6">
        <f>IF(E4="","",IF(E4&gt;=4,"高风险",IF(E4&gt;=3,"中风险","低风险")))</f>
        <v/>
      </c>
      <c r="H4" s="5" t="inlineStr">
        <is>
          <t>关键资质已过期；资质持有方与运营方不一致</t>
        </is>
      </c>
      <c r="I4" s="5" t="inlineStr">
        <is>
          <t>建立资质管理台账；提前3个月启动续期</t>
        </is>
      </c>
      <c r="J4" s="5" t="n"/>
    </row>
    <row r="5" ht="28" customHeight="1">
      <c r="A5" s="9" t="inlineStr">
        <is>
          <t>【工商合规】小计</t>
        </is>
      </c>
      <c r="B5" s="10" t="n">
        <v>0.15</v>
      </c>
      <c r="C5" s="9" t="inlineStr">
        <is>
          <t>维度得分 = 该维度3项评分平均分 × 权重</t>
        </is>
      </c>
      <c r="D5" s="10" t="n"/>
      <c r="E5" s="10" t="n"/>
      <c r="F5" s="11">
        <f>IF(COUNT(E2:E4)=0,"",ROUND(AVERAGE(E2:E4)*B5,2))</f>
        <v/>
      </c>
      <c r="G5" s="10">
        <f>IF(COUNT(E2:E4)=0,"",IF(AVERAGE(E2:E4)&gt;=4,"高风险",IF(AVERAGE(E2:E4)&gt;=3,"中风险","低风险")))</f>
        <v/>
      </c>
      <c r="H5" s="10" t="n"/>
      <c r="I5" s="10" t="n"/>
      <c r="J5" s="10" t="n"/>
    </row>
    <row r="6" ht="42" customHeight="1">
      <c r="A6" s="5" t="inlineStr">
        <is>
          <t>涉诉风险</t>
        </is>
      </c>
      <c r="B6" s="6" t="n">
        <v>0.2</v>
      </c>
      <c r="C6" s="5" t="inlineStr">
        <is>
          <t>被告/被执行人</t>
        </is>
      </c>
      <c r="D6" s="5" t="inlineStr">
        <is>
          <t>近3年作为被告的案件数量、金额；是否被列入被执行人</t>
        </is>
      </c>
      <c r="E6" s="7" t="inlineStr"/>
      <c r="F6" s="8" t="n"/>
      <c r="G6" s="6">
        <f>IF(E6="","",IF(E6&gt;=4,"高风险",IF(E6&gt;=3,"中风险","低风险")))</f>
        <v/>
      </c>
      <c r="H6" s="5" t="inlineStr">
        <is>
          <t>存在未决诉讼标的金额大；已被列入失信被执行人</t>
        </is>
      </c>
      <c r="I6" s="5" t="inlineStr">
        <is>
          <t>建立诉讼台账；聘请法律顾问；积极应诉履行</t>
        </is>
      </c>
      <c r="J6" s="5" t="n"/>
    </row>
    <row r="7" ht="42" customHeight="1">
      <c r="A7" s="5" t="inlineStr"/>
      <c r="B7" s="6" t="inlineStr"/>
      <c r="C7" s="5" t="inlineStr">
        <is>
          <t>行政处罚记录</t>
        </is>
      </c>
      <c r="D7" s="5" t="inlineStr">
        <is>
          <t>近3年行政处罚数量、类型、金额；整改情况</t>
        </is>
      </c>
      <c r="E7" s="7" t="inlineStr"/>
      <c r="F7" s="8" t="n"/>
      <c r="G7" s="6">
        <f>IF(E7="","",IF(E7&gt;=4,"高风险",IF(E7&gt;=3,"中风险","低风险")))</f>
        <v/>
      </c>
      <c r="H7" s="5" t="inlineStr">
        <is>
          <t>近3年行政处罚&gt;3次；存在重大行政处罚；整改不到位</t>
        </is>
      </c>
      <c r="I7" s="5" t="inlineStr">
        <is>
          <t>建立合规检查机制；定期自查自纠</t>
        </is>
      </c>
      <c r="J7" s="5" t="n"/>
    </row>
    <row r="8" ht="42" customHeight="1">
      <c r="A8" s="5" t="inlineStr"/>
      <c r="B8" s="6" t="inlineStr"/>
      <c r="C8" s="5" t="inlineStr">
        <is>
          <t>刑事涉诉风险</t>
        </is>
      </c>
      <c r="D8" s="5" t="inlineStr">
        <is>
          <t>实际控制人/高管是否存在刑事涉诉；公司单位犯罪风险</t>
        </is>
      </c>
      <c r="E8" s="7" t="inlineStr"/>
      <c r="F8" s="8" t="n"/>
      <c r="G8" s="6">
        <f>IF(E8="","",IF(E8&gt;=4,"高风险",IF(E8&gt;=3,"中风险","低风险")))</f>
        <v/>
      </c>
      <c r="H8" s="5" t="inlineStr">
        <is>
          <t>高管涉及刑事调查；公司存在走私/逃税嫌疑</t>
        </is>
      </c>
      <c r="I8" s="5" t="inlineStr">
        <is>
          <t>加强高管法律培训；建立合规审查机制</t>
        </is>
      </c>
      <c r="J8" s="5" t="n"/>
    </row>
    <row r="9" ht="28" customHeight="1">
      <c r="A9" s="9" t="inlineStr">
        <is>
          <t>【涉诉风险】小计</t>
        </is>
      </c>
      <c r="B9" s="10" t="n">
        <v>0.2</v>
      </c>
      <c r="C9" s="9" t="inlineStr">
        <is>
          <t>维度得分 = 该维度3项评分平均分 × 权重</t>
        </is>
      </c>
      <c r="D9" s="10" t="n"/>
      <c r="E9" s="10" t="n"/>
      <c r="F9" s="11">
        <f>IF(COUNT(E6:E8)=0,"",ROUND(AVERAGE(E6:E8)*B9,2))</f>
        <v/>
      </c>
      <c r="G9" s="10">
        <f>IF(COUNT(E6:E8)=0,"",IF(AVERAGE(E6:E8)&gt;=4,"高风险",IF(AVERAGE(E6:E8)&gt;=3,"中风险","低风险")))</f>
        <v/>
      </c>
      <c r="H9" s="10" t="n"/>
      <c r="I9" s="10" t="n"/>
      <c r="J9" s="10" t="n"/>
    </row>
    <row r="10" ht="42" customHeight="1">
      <c r="A10" s="5" t="inlineStr">
        <is>
          <t>资产安全</t>
        </is>
      </c>
      <c r="B10" s="6" t="n">
        <v>0.15</v>
      </c>
      <c r="C10" s="5" t="inlineStr">
        <is>
          <t>资产权属清晰度</t>
        </is>
      </c>
      <c r="D10" s="5" t="inlineStr">
        <is>
          <t>核心资产权属是否清晰；是否存在争议</t>
        </is>
      </c>
      <c r="E10" s="7" t="inlineStr"/>
      <c r="F10" s="8" t="n"/>
      <c r="G10" s="6">
        <f>IF(E10="","",IF(E10&gt;=4,"高风险",IF(E10&gt;=3,"中风险","低风险")))</f>
        <v/>
      </c>
      <c r="H10" s="5" t="inlineStr">
        <is>
          <t>核心资产存在权属纠纷；无证房产；权属登记不一致</t>
        </is>
      </c>
      <c r="I10" s="5" t="inlineStr">
        <is>
          <t>定期核查资产权属；及时办理权属证书</t>
        </is>
      </c>
      <c r="J10" s="5" t="n"/>
    </row>
    <row r="11" ht="42" customHeight="1">
      <c r="A11" s="5" t="inlineStr"/>
      <c r="B11" s="6" t="inlineStr"/>
      <c r="C11" s="5" t="inlineStr">
        <is>
          <t>资产受限情况</t>
        </is>
      </c>
      <c r="D11" s="5" t="inlineStr">
        <is>
          <t>资产抵押/质押/查封/冻结比例</t>
        </is>
      </c>
      <c r="E11" s="7" t="inlineStr"/>
      <c r="F11" s="8" t="n"/>
      <c r="G11" s="6">
        <f>IF(E11="","",IF(E11&gt;=4,"高风险",IF(E11&gt;=3,"中风险","低风险")))</f>
        <v/>
      </c>
      <c r="H11" s="5" t="inlineStr">
        <is>
          <t>受限资产比例&gt;50%；核心资产全部受限</t>
        </is>
      </c>
      <c r="I11" s="5" t="inlineStr">
        <is>
          <t>监控资产受限状态；优化资产结构</t>
        </is>
      </c>
      <c r="J11" s="5" t="n"/>
    </row>
    <row r="12" ht="42" customHeight="1">
      <c r="A12" s="5" t="inlineStr"/>
      <c r="B12" s="6" t="inlineStr"/>
      <c r="C12" s="5" t="inlineStr">
        <is>
          <t>应收账款质量</t>
        </is>
      </c>
      <c r="D12" s="5" t="inlineStr">
        <is>
          <t>前十大应收占比；账龄结构；坏账准备计提</t>
        </is>
      </c>
      <c r="E12" s="7" t="inlineStr"/>
      <c r="F12" s="8" t="n"/>
      <c r="G12" s="6">
        <f>IF(E12="","",IF(E12&gt;=4,"高风险",IF(E12&gt;=3,"中风险","低风险")))</f>
        <v/>
      </c>
      <c r="H12" s="5" t="inlineStr">
        <is>
          <t>应收占总资产比例过高；账龄&gt;1年占比大；主要客户资信恶化</t>
        </is>
      </c>
      <c r="I12" s="5" t="inlineStr">
        <is>
          <t>加强客户信用管理；建立催收机制</t>
        </is>
      </c>
      <c r="J12" s="5" t="n"/>
    </row>
    <row r="13" ht="28" customHeight="1">
      <c r="A13" s="9" t="inlineStr">
        <is>
          <t>【资产安全】小计</t>
        </is>
      </c>
      <c r="B13" s="10" t="n">
        <v>0.15</v>
      </c>
      <c r="C13" s="9" t="inlineStr">
        <is>
          <t>维度得分 = 该维度3项评分平均分 × 权重</t>
        </is>
      </c>
      <c r="D13" s="10" t="n"/>
      <c r="E13" s="10" t="n"/>
      <c r="F13" s="11">
        <f>IF(COUNT(E10:E12)=0,"",ROUND(AVERAGE(E10:E12)*B13,2))</f>
        <v/>
      </c>
      <c r="G13" s="10">
        <f>IF(COUNT(E10:E12)=0,"",IF(AVERAGE(E10:E12)&gt;=4,"高风险",IF(AVERAGE(E10:E12)&gt;=3,"中风险","低风险")))</f>
        <v/>
      </c>
      <c r="H13" s="10" t="n"/>
      <c r="I13" s="10" t="n"/>
      <c r="J13" s="10" t="n"/>
    </row>
    <row r="14" ht="42" customHeight="1">
      <c r="A14" s="5" t="inlineStr">
        <is>
          <t>合同履约</t>
        </is>
      </c>
      <c r="B14" s="6" t="n">
        <v>0.15</v>
      </c>
      <c r="C14" s="5" t="inlineStr">
        <is>
          <t>合同条款公平性</t>
        </is>
      </c>
      <c r="D14" s="5" t="inlineStr">
        <is>
          <t>付款/交付/违约/争议解决条款是否公平</t>
        </is>
      </c>
      <c r="E14" s="7" t="inlineStr"/>
      <c r="F14" s="8" t="n"/>
      <c r="G14" s="6">
        <f>IF(E14="","",IF(E14&gt;=4,"高风险",IF(E14&gt;=3,"中风险","低风险")))</f>
        <v/>
      </c>
      <c r="H14" s="5" t="inlineStr">
        <is>
          <t>付款条款极不利；违约责任不对等；缺少不可抗力条款</t>
        </is>
      </c>
      <c r="I14" s="5" t="inlineStr">
        <is>
          <t>建立合同审查流程；法务前置审核</t>
        </is>
      </c>
      <c r="J14" s="5" t="n"/>
    </row>
    <row r="15" ht="42" customHeight="1">
      <c r="A15" s="5" t="inlineStr"/>
      <c r="B15" s="6" t="inlineStr"/>
      <c r="C15" s="5" t="inlineStr">
        <is>
          <t>合同相对方资信</t>
        </is>
      </c>
      <c r="D15" s="5" t="inlineStr">
        <is>
          <t>主要客户/供应商资信状况；违约历史</t>
        </is>
      </c>
      <c r="E15" s="7" t="inlineStr"/>
      <c r="F15" s="8" t="n"/>
      <c r="G15" s="6">
        <f>IF(E15="","",IF(E15&gt;=4,"高风险",IF(E15&gt;=3,"中风险","低风险")))</f>
        <v/>
      </c>
      <c r="H15" s="5" t="inlineStr">
        <is>
          <t>主要客户出现逾期；供应商停止供货；集中度&gt;50%</t>
        </is>
      </c>
      <c r="I15" s="5" t="inlineStr">
        <is>
          <t>建立客户/供应商评级体系；分散集中度</t>
        </is>
      </c>
      <c r="J15" s="5" t="n"/>
    </row>
    <row r="16" ht="42" customHeight="1">
      <c r="A16" s="5" t="inlineStr"/>
      <c r="B16" s="6" t="inlineStr"/>
      <c r="C16" s="5" t="inlineStr">
        <is>
          <t>对外担保风险</t>
        </is>
      </c>
      <c r="D16" s="5" t="inlineStr">
        <is>
          <t>对外担保余额；被担保方资信；反担保措施</t>
        </is>
      </c>
      <c r="E16" s="7" t="inlineStr"/>
      <c r="F16" s="8" t="n"/>
      <c r="G16" s="6">
        <f>IF(E16="","",IF(E16&gt;=4,"高风险",IF(E16&gt;=3,"中风险","低风险")))</f>
        <v/>
      </c>
      <c r="H16" s="5" t="inlineStr">
        <is>
          <t>对外担保金额大且被担保方资信差；无反担保</t>
        </is>
      </c>
      <c r="I16" s="5" t="inlineStr">
        <is>
          <t>严格控制对外担保；要求足额反担保</t>
        </is>
      </c>
      <c r="J16" s="5" t="n"/>
    </row>
    <row r="17" ht="28" customHeight="1">
      <c r="A17" s="9" t="inlineStr">
        <is>
          <t>【合同履约】小计</t>
        </is>
      </c>
      <c r="B17" s="10" t="n">
        <v>0.15</v>
      </c>
      <c r="C17" s="9" t="inlineStr">
        <is>
          <t>维度得分 = 该维度3项评分平均分 × 权重</t>
        </is>
      </c>
      <c r="D17" s="10" t="n"/>
      <c r="E17" s="10" t="n"/>
      <c r="F17" s="11">
        <f>IF(COUNT(E14:E16)=0,"",ROUND(AVERAGE(E14:E16)*B17,2))</f>
        <v/>
      </c>
      <c r="G17" s="10">
        <f>IF(COUNT(E14:E16)=0,"",IF(AVERAGE(E14:E16)&gt;=4,"高风险",IF(AVERAGE(E14:E16)&gt;=3,"中风险","低风险")))</f>
        <v/>
      </c>
      <c r="H17" s="10" t="n"/>
      <c r="I17" s="10" t="n"/>
      <c r="J17" s="10" t="n"/>
    </row>
    <row r="18" ht="42" customHeight="1">
      <c r="A18" s="5" t="inlineStr">
        <is>
          <t>舆情声誉</t>
        </is>
      </c>
      <c r="B18" s="6" t="n">
        <v>0.15</v>
      </c>
      <c r="C18" s="5" t="inlineStr">
        <is>
          <t>负面舆情监测</t>
        </is>
      </c>
      <c r="D18" s="5" t="inlineStr">
        <is>
          <t>全网负面信息数量/传播范围/情绪强度</t>
        </is>
      </c>
      <c r="E18" s="7" t="inlineStr"/>
      <c r="F18" s="8" t="n"/>
      <c r="G18" s="6">
        <f>IF(E18="","",IF(E18&gt;=4,"高风险",IF(E18&gt;=3,"中风险","低风险")))</f>
        <v/>
      </c>
      <c r="H18" s="5" t="inlineStr">
        <is>
          <t>负面信息登上热搜；存在深度伪造内容；大量同质化差评</t>
        </is>
      </c>
      <c r="I18" s="5" t="inlineStr">
        <is>
          <t>建立舆情监测体系；及时回应澄清</t>
        </is>
      </c>
      <c r="J18" s="5" t="n"/>
    </row>
    <row r="19" ht="42" customHeight="1">
      <c r="A19" s="5" t="inlineStr"/>
      <c r="B19" s="6" t="inlineStr"/>
      <c r="C19" s="5" t="inlineStr">
        <is>
          <t>历史危机处置</t>
        </is>
      </c>
      <c r="D19" s="5" t="inlineStr">
        <is>
          <t>近3年舆情危机、处置效果与后遗症</t>
        </is>
      </c>
      <c r="E19" s="7" t="inlineStr"/>
      <c r="F19" s="8" t="n"/>
      <c r="G19" s="6">
        <f>IF(E19="","",IF(E19&gt;=4,"高风险",IF(E19&gt;=3,"中风险","低风险")))</f>
        <v/>
      </c>
      <c r="H19" s="5" t="inlineStr">
        <is>
          <t>发生过重大危机且处置不当；同类问题重复发生</t>
        </is>
      </c>
      <c r="I19" s="5" t="inlineStr">
        <is>
          <t>建立危机响应预案；定期演练</t>
        </is>
      </c>
      <c r="J19" s="5" t="n"/>
    </row>
    <row r="20" ht="42" customHeight="1">
      <c r="A20" s="5" t="inlineStr"/>
      <c r="B20" s="6" t="inlineStr"/>
      <c r="C20" s="5" t="inlineStr">
        <is>
          <t>品牌口碑状况</t>
        </is>
      </c>
      <c r="D20" s="5" t="inlineStr">
        <is>
          <t>平台评分；NPS；正面/负面评价比例</t>
        </is>
      </c>
      <c r="E20" s="7" t="inlineStr"/>
      <c r="F20" s="8" t="n"/>
      <c r="G20" s="6">
        <f>IF(E20="","",IF(E20&gt;=4,"高风险",IF(E20&gt;=3,"中风险","低风险")))</f>
        <v/>
      </c>
      <c r="H20" s="5" t="inlineStr">
        <is>
          <t>评分持续下降；负面评价&gt;30%；出现集体投诉</t>
        </is>
      </c>
      <c r="I20" s="5" t="inlineStr">
        <is>
          <t>加强客户服务；主动管理口碑</t>
        </is>
      </c>
      <c r="J20" s="5" t="n"/>
    </row>
    <row r="21" ht="28" customHeight="1">
      <c r="A21" s="9" t="inlineStr">
        <is>
          <t>【舆情声誉】小计</t>
        </is>
      </c>
      <c r="B21" s="10" t="n">
        <v>0.15</v>
      </c>
      <c r="C21" s="9" t="inlineStr">
        <is>
          <t>维度得分 = 该维度3项评分平均分 × 权重</t>
        </is>
      </c>
      <c r="D21" s="10" t="n"/>
      <c r="E21" s="10" t="n"/>
      <c r="F21" s="11">
        <f>IF(COUNT(E18:E20)=0,"",ROUND(AVERAGE(E18:E20)*B21,2))</f>
        <v/>
      </c>
      <c r="G21" s="10">
        <f>IF(COUNT(E18:E20)=0,"",IF(AVERAGE(E18:E20)&gt;=4,"高风险",IF(AVERAGE(E18:E20)&gt;=3,"中风险","低风险")))</f>
        <v/>
      </c>
      <c r="H21" s="10" t="n"/>
      <c r="I21" s="10" t="n"/>
      <c r="J21" s="10" t="n"/>
    </row>
    <row r="22" ht="42" customHeight="1">
      <c r="A22" s="5" t="inlineStr">
        <is>
          <t>资金财务</t>
        </is>
      </c>
      <c r="B22" s="6" t="n">
        <v>0.2</v>
      </c>
      <c r="C22" s="5" t="inlineStr">
        <is>
          <t>偿债能力</t>
        </is>
      </c>
      <c r="D22" s="5" t="inlineStr">
        <is>
          <t>资产负债率；流动比率；速动比率；利息保障倍数</t>
        </is>
      </c>
      <c r="E22" s="7" t="inlineStr"/>
      <c r="F22" s="8" t="n"/>
      <c r="G22" s="6">
        <f>IF(E22="","",IF(E22&gt;=4,"高风险",IF(E22&gt;=3,"中风险","低风险")))</f>
        <v/>
      </c>
      <c r="H22" s="5" t="inlineStr">
        <is>
          <t>资产负债率&gt;70%；流动比率&lt;1；利息保障倍数&lt;3</t>
        </is>
      </c>
      <c r="I22" s="5" t="inlineStr">
        <is>
          <t>优化债务结构；增强盈利能力</t>
        </is>
      </c>
      <c r="J22" s="5" t="n"/>
    </row>
    <row r="23" ht="42" customHeight="1">
      <c r="A23" s="5" t="inlineStr"/>
      <c r="B23" s="6" t="inlineStr"/>
      <c r="C23" s="5" t="inlineStr">
        <is>
          <t>现金流健康度</t>
        </is>
      </c>
      <c r="D23" s="5" t="inlineStr">
        <is>
          <t>经营现金流与净利润匹配性；是否持续为负</t>
        </is>
      </c>
      <c r="E23" s="7" t="inlineStr"/>
      <c r="F23" s="8" t="n"/>
      <c r="G23" s="6">
        <f>IF(E23="","",IF(E23&gt;=4,"高风险",IF(E23&gt;=3,"中风险","低风险")))</f>
        <v/>
      </c>
      <c r="H23" s="5" t="inlineStr">
        <is>
          <t>经营现金流长期为负；现金流与利润严重背离</t>
        </is>
      </c>
      <c r="I23" s="5" t="inlineStr">
        <is>
          <t>加强营运资金管理；减少资金占用</t>
        </is>
      </c>
      <c r="J23" s="5" t="n"/>
    </row>
    <row r="24" ht="42" customHeight="1">
      <c r="A24" s="5" t="inlineStr"/>
      <c r="B24" s="6" t="inlineStr"/>
      <c r="C24" s="5" t="inlineStr">
        <is>
          <t>资金异常往来</t>
        </is>
      </c>
      <c r="D24" s="5" t="inlineStr">
        <is>
          <t>大额资金往来对象/金额/频率；商业实质</t>
        </is>
      </c>
      <c r="E24" s="7" t="inlineStr"/>
      <c r="F24" s="8" t="n"/>
      <c r="G24" s="6">
        <f>IF(E24="","",IF(E24&gt;=4,"高风险",IF(E24&gt;=3,"中风险","低风险")))</f>
        <v/>
      </c>
      <c r="H24" s="5" t="inlineStr">
        <is>
          <t>频繁与个人账户往来；存在循环转账；资金被关联方占用</t>
        </is>
      </c>
      <c r="I24" s="5" t="inlineStr">
        <is>
          <t>建立资金审批制度；监控异常往来</t>
        </is>
      </c>
      <c r="J24" s="5" t="n"/>
    </row>
    <row r="25" ht="42" customHeight="1">
      <c r="A25" s="5" t="inlineStr"/>
      <c r="B25" s="6" t="inlineStr"/>
      <c r="C25" s="5" t="inlineStr">
        <is>
          <t>税务合规性</t>
        </is>
      </c>
      <c r="D25" s="5" t="inlineStr">
        <is>
          <t>纳税记录完整性；欠税情况；税务稽查记录</t>
        </is>
      </c>
      <c r="E25" s="7" t="inlineStr"/>
      <c r="F25" s="8" t="n"/>
      <c r="G25" s="6">
        <f>IF(E25="","",IF(E25&gt;=4,"高风险",IF(E25&gt;=3,"中风险","低风险")))</f>
        <v/>
      </c>
      <c r="H25" s="5" t="inlineStr">
        <is>
          <t>存在大额欠税；有税务稽查记录；高度依赖即将到期优惠</t>
        </is>
      </c>
      <c r="I25" s="5" t="inlineStr">
        <is>
          <t>加强税务合规管理；提前规划税收优惠衔接</t>
        </is>
      </c>
      <c r="J25" s="5" t="n"/>
    </row>
    <row r="26" ht="28" customHeight="1">
      <c r="A26" s="9" t="inlineStr">
        <is>
          <t>【资金财务】小计</t>
        </is>
      </c>
      <c r="B26" s="10" t="n">
        <v>0.2</v>
      </c>
      <c r="C26" s="9" t="inlineStr">
        <is>
          <t>维度得分 = 该维度4项评分平均分 × 权重</t>
        </is>
      </c>
      <c r="D26" s="10" t="n"/>
      <c r="E26" s="10" t="n"/>
      <c r="F26" s="11">
        <f>IF(COUNT(E22:E25)=0,"",ROUND(AVERAGE(E22:E25)*B26,2))</f>
        <v/>
      </c>
      <c r="G26" s="10">
        <f>IF(COUNT(E22:E25)=0,"",IF(AVERAGE(E22:E25)&gt;=4,"高风险",IF(AVERAGE(E22:E25)&gt;=3,"中风险","低风险")))</f>
        <v/>
      </c>
      <c r="H26" s="10" t="n"/>
      <c r="I26" s="10" t="n"/>
      <c r="J26" s="10" t="n"/>
    </row>
    <row r="27" ht="32" customHeight="1">
      <c r="A27" s="12" t="inlineStr">
        <is>
          <t>综合评估结果</t>
        </is>
      </c>
      <c r="B27" s="13" t="n"/>
      <c r="C27" s="12" t="inlineStr">
        <is>
          <t>综合评分 = 各维度得分之和；按阈值自动定级</t>
        </is>
      </c>
      <c r="D27" s="13" t="n"/>
      <c r="E27" s="13" t="n"/>
      <c r="F27" s="14">
        <f>IF(COUNT(F5:F26)=0,"",ROUND(SUM(F5:F26),2))</f>
        <v/>
      </c>
      <c r="G27" s="14">
        <f>IF(F27="","",IF(F27&gt;=4,"高风险",IF(F27&gt;=3,"中风险","低风险")))</f>
        <v/>
      </c>
      <c r="H27" s="13" t="n"/>
      <c r="I27" s="13" t="n"/>
      <c r="J27" s="13" t="n"/>
    </row>
    <row r="28">
      <c r="A28" s="15" t="inlineStr">
        <is>
          <t>权重校验(应=100%)</t>
        </is>
      </c>
      <c r="B28" s="16">
        <f>SUM(B5,B9,B13,B17,B21,B26)</f>
        <v/>
      </c>
      <c r="C28" s="17" t="n"/>
      <c r="D28" s="17" t="n"/>
    </row>
  </sheetData>
  <autoFilter ref="A1:J27"/>
  <conditionalFormatting sqref="G2:G27">
    <cfRule type="expression" priority="1" dxfId="0">
      <formula>G2="高风险"</formula>
    </cfRule>
    <cfRule type="expression" priority="2" dxfId="1">
      <formula>G2="中风险"</formula>
    </cfRule>
    <cfRule type="expression" priority="3" dxfId="2">
      <formula>G2="低风险"</formula>
    </cfRule>
  </conditionalFormatting>
  <conditionalFormatting sqref="E2:E27">
    <cfRule type="expression" priority="4" dxfId="0">
      <formula>E2&gt;=4</formula>
    </cfRule>
    <cfRule type="expression" priority="5" dxfId="1">
      <formula>E2=3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5" customWidth="1" min="3" max="3"/>
    <col width="40" customWidth="1" min="4" max="4"/>
  </cols>
  <sheetData>
    <row r="1">
      <c r="A1" s="4" t="inlineStr">
        <is>
          <t>评分</t>
        </is>
      </c>
      <c r="B1" s="4" t="inlineStr">
        <is>
          <t>风险程度</t>
        </is>
      </c>
      <c r="C1" s="4" t="inlineStr">
        <is>
          <t>定义</t>
        </is>
      </c>
      <c r="D1" s="4" t="inlineStr">
        <is>
          <t>处置建议</t>
        </is>
      </c>
    </row>
    <row r="2">
      <c r="A2" s="6" t="n">
        <v>1</v>
      </c>
      <c r="B2" s="6" t="inlineStr">
        <is>
          <t>极低</t>
        </is>
      </c>
      <c r="C2" s="6" t="inlineStr">
        <is>
          <t>几乎无风险，完全可控，无需特别措施</t>
        </is>
      </c>
      <c r="D2" s="6" t="inlineStr">
        <is>
          <t>常规监测即可</t>
        </is>
      </c>
    </row>
    <row r="3">
      <c r="A3" s="6" t="n">
        <v>2</v>
      </c>
      <c r="B3" s="6" t="inlineStr">
        <is>
          <t>较低</t>
        </is>
      </c>
      <c r="C3" s="6" t="inlineStr">
        <is>
          <t>风险较低，容易管理，偶发小概率事件</t>
        </is>
      </c>
      <c r="D3" s="6" t="inlineStr">
        <is>
          <t>纳入日常关注，定期检查</t>
        </is>
      </c>
    </row>
    <row r="4">
      <c r="A4" s="6" t="n">
        <v>3</v>
      </c>
      <c r="B4" s="6" t="inlineStr">
        <is>
          <t>中等</t>
        </is>
      </c>
      <c r="C4" s="6" t="inlineStr">
        <is>
          <t>风险中等，需要关注，可能影响局部业务</t>
        </is>
      </c>
      <c r="D4" s="6" t="inlineStr">
        <is>
          <t>制定专项防控措施，明确责任人</t>
        </is>
      </c>
    </row>
    <row r="5">
      <c r="A5" s="6" t="n">
        <v>4</v>
      </c>
      <c r="B5" s="6" t="inlineStr">
        <is>
          <t>较高</t>
        </is>
      </c>
      <c r="C5" s="6" t="inlineStr">
        <is>
          <t>风险较高，需立即采取措施，可能影响整体经营</t>
        </is>
      </c>
      <c r="D5" s="6" t="inlineStr">
        <is>
          <t>启动专项工作组，制定详细化解方案</t>
        </is>
      </c>
    </row>
    <row r="6">
      <c r="A6" s="6" t="n">
        <v>5</v>
      </c>
      <c r="B6" s="6" t="inlineStr">
        <is>
          <t>极高</t>
        </is>
      </c>
      <c r="C6" s="6" t="inlineStr">
        <is>
          <t>风险极高，一旦爆发将造成颠覆性影响</t>
        </is>
      </c>
      <c r="D6" s="6" t="inlineStr">
        <is>
          <t>立即暂停相关业务，启动应急预案，最高层直接督办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2026-09-14T07:38:56Z</dcterms:created>
  <dcterms:modified xmlns:dcterms="http://purl.org/dc/terms/" xmlns:xsi="http://www.w3.org/2001/XMLSchema-instance" xsi:type="dcterms:W3CDTF">2026-09-14T07:38:56Z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value1","ContentProducer":"001191110000802100433B11010001191110000802100433B11010","ProduceID":"06257f9b-fa86-4cb6-ae17-8d62d338e1b0","ReservedCode1":"72dafc97cd38b92e5f3d5cdfd0dfbbe6","ContentPropagator":"001191110000802100433B11010001191110000802100433B11010","PropagateID":"c369785b-4d34-47cc-ba67-6c6c320557c3","ReservedCode2":"2734827274df537123a472bf4de01eb5"}</vt:lpwstr>
  </property>
</Properties>
</file>