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参数输入" sheetId="2" state="visible" r:id="rId2"/>
    <sheet xmlns:r="http://schemas.openxmlformats.org/officeDocument/2006/relationships" name="损失测算结果" sheetId="3" state="visible" r:id="rId3"/>
    <sheet xmlns:r="http://schemas.openxmlformats.org/officeDocument/2006/relationships" name="逾期利息计算器" sheetId="4" state="visible" r:id="rId4"/>
    <sheet xmlns:r="http://schemas.openxmlformats.org/officeDocument/2006/relationships" name="情景对比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,##0.00"/>
  </numFmts>
  <fonts count="9">
    <font>
      <name val="Calibri"/>
      <family val="2"/>
      <color theme="1"/>
      <sz val="11"/>
      <scheme val="minor"/>
    </font>
    <font>
      <name val="微软雅黑"/>
      <b val="1"/>
      <color rgb="001F4E78"/>
      <sz val="24"/>
    </font>
    <font>
      <name val="微软雅黑"/>
      <color rgb="00555555"/>
      <sz val="12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sz val="12"/>
    </font>
    <font>
      <name val="微软雅黑"/>
      <b val="1"/>
      <color rgb="001F4E78"/>
      <sz val="13"/>
    </font>
    <font>
      <name val="微软雅黑"/>
      <i val="1"/>
      <color rgb="00777777"/>
      <sz val="10"/>
    </font>
    <font>
      <name val="微软雅黑"/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2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4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0" fontId="0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0" borderId="0" pivotButton="0" quotePrefix="0" xfId="0"/>
    <xf numFmtId="4" fontId="0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6B6B"/>
          <bgColor rgb="00FF6B6B"/>
        </patternFill>
      </fill>
    </dxf>
    <dxf>
      <fill>
        <patternFill patternType="solid">
          <fgColor rgb="00FFE66D"/>
          <bgColor rgb="00FFE66D"/>
        </patternFill>
      </fill>
    </dxf>
    <dxf>
      <fill>
        <patternFill patternType="solid">
          <fgColor rgb="0095E1D3"/>
          <bgColor rgb="0095E1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 ht="50" customHeight="1">
      <c r="A1" s="1" t="inlineStr">
        <is>
          <t>风险损失测算模板</t>
        </is>
      </c>
    </row>
    <row r="3">
      <c r="A3" s="2" t="inlineStr">
        <is>
          <t>可直接计算成本、逾期利息、预期损失，支持多情景对比分析</t>
        </is>
      </c>
    </row>
    <row r="5" ht="170" customHeight="1">
      <c r="A5" s="3" t="inlineStr">
        <is>
          <t>使用说明:
1. 在"参数输入"表的黄色区域填写三档情景(乐观/基准/悲观)参数
2. "损失测算结果"自动计算逾期利息、预期损失、处置总成本、回收率并判定风险等级
3. 核心公式:
   - 逾期利息 = 本金 × 逾期利率 × 逾期天数/360(银行惯例)
   - 预期损失(EL) = 违约风险敞口(EAD) × 违约概率(PD) × 违约损失率(LGD)
   - 处置总成本 = 净预期损失 + 催收/诉讼成本 + 间接成本 + 机会成本 + 逾期利息
4. "逾期利息计算器"用于单笔逐日计息，"情景对比分析"用于决策对比
5. 所有公式已预设，修改参数后自动重算；适用于逾期应收、合同违约、投资损失、供应链中断等场景</t>
        </is>
      </c>
    </row>
  </sheetData>
  <mergeCells count="3">
    <mergeCell ref="A3:H3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4" customWidth="1" min="4" max="4"/>
    <col width="14" customWidth="1" min="5" max="5"/>
    <col width="10" customWidth="1" min="6" max="6"/>
    <col width="28" customWidth="1" min="7" max="7"/>
  </cols>
  <sheetData>
    <row r="1">
      <c r="A1" s="4" t="inlineStr">
        <is>
          <t>参数名称</t>
        </is>
      </c>
      <c r="B1" s="4" t="inlineStr">
        <is>
          <t>说明</t>
        </is>
      </c>
      <c r="C1" s="4" t="inlineStr">
        <is>
          <t>乐观情景</t>
        </is>
      </c>
      <c r="D1" s="4" t="inlineStr">
        <is>
          <t>基准情景</t>
        </is>
      </c>
      <c r="E1" s="4" t="inlineStr">
        <is>
          <t>悲观情景</t>
        </is>
      </c>
      <c r="F1" s="4" t="inlineStr">
        <is>
          <t>单位</t>
        </is>
      </c>
      <c r="G1" s="4" t="inlineStr">
        <is>
          <t>备注</t>
        </is>
      </c>
    </row>
    <row r="2" ht="34" customHeight="1">
      <c r="A2" s="5" t="inlineStr">
        <is>
          <t>风险敞口本金</t>
        </is>
      </c>
      <c r="B2" s="5" t="inlineStr">
        <is>
          <t>面临风险的本金/应收账款/投资金额</t>
        </is>
      </c>
      <c r="C2" s="6" t="n">
        <v>1000000</v>
      </c>
      <c r="D2" s="7" t="n">
        <v>1000000</v>
      </c>
      <c r="E2" s="7" t="n">
        <v>1000000</v>
      </c>
      <c r="F2" s="8" t="inlineStr">
        <is>
          <t>元</t>
        </is>
      </c>
      <c r="G2" s="5" t="inlineStr">
        <is>
          <t>按实际业务填写</t>
        </is>
      </c>
    </row>
    <row r="3" ht="34" customHeight="1">
      <c r="A3" s="5" t="inlineStr">
        <is>
          <t>违约概率(PD)</t>
        </is>
      </c>
      <c r="B3" s="5" t="inlineStr">
        <is>
          <t>对方违约的可能性(0-100%)</t>
        </is>
      </c>
      <c r="C3" s="7" t="n">
        <v>0.05</v>
      </c>
      <c r="D3" s="7" t="n">
        <v>0.15</v>
      </c>
      <c r="E3" s="7" t="n">
        <v>0.35</v>
      </c>
      <c r="F3" s="8" t="inlineStr">
        <is>
          <t>%</t>
        </is>
      </c>
      <c r="G3" s="5" t="inlineStr">
        <is>
          <t>按历史数据或信用评级估算</t>
        </is>
      </c>
    </row>
    <row r="4" ht="34" customHeight="1">
      <c r="A4" s="5" t="inlineStr">
        <is>
          <t>违约损失率(LGD)</t>
        </is>
      </c>
      <c r="B4" s="5" t="inlineStr">
        <is>
          <t>违约后无法收回的比例(0-100%)</t>
        </is>
      </c>
      <c r="C4" s="7" t="n">
        <v>0.2</v>
      </c>
      <c r="D4" s="7" t="n">
        <v>0.4</v>
      </c>
      <c r="E4" s="7" t="n">
        <v>0.7</v>
      </c>
      <c r="F4" s="8" t="inlineStr">
        <is>
          <t>%</t>
        </is>
      </c>
      <c r="G4" s="5" t="inlineStr">
        <is>
          <t>考虑抵押/担保/回收成本</t>
        </is>
      </c>
    </row>
    <row r="5" ht="34" customHeight="1">
      <c r="A5" s="5" t="inlineStr">
        <is>
          <t>逾期天数</t>
        </is>
      </c>
      <c r="B5" s="5" t="inlineStr">
        <is>
          <t>预计或已逾期的天数</t>
        </is>
      </c>
      <c r="C5" s="7" t="n">
        <v>30</v>
      </c>
      <c r="D5" s="7" t="n">
        <v>90</v>
      </c>
      <c r="E5" s="7" t="n">
        <v>180</v>
      </c>
      <c r="F5" s="8" t="inlineStr">
        <is>
          <t>天</t>
        </is>
      </c>
      <c r="G5" s="5" t="inlineStr">
        <is>
          <t>自到期日起算</t>
        </is>
      </c>
    </row>
    <row r="6" ht="34" customHeight="1">
      <c r="A6" s="5" t="inlineStr">
        <is>
          <t>逾期利率</t>
        </is>
      </c>
      <c r="B6" s="5" t="inlineStr">
        <is>
          <t>逾期利息年化利率</t>
        </is>
      </c>
      <c r="C6" s="7" t="n">
        <v>0.12</v>
      </c>
      <c r="D6" s="7" t="n">
        <v>0.18</v>
      </c>
      <c r="E6" s="7" t="n">
        <v>0.24</v>
      </c>
      <c r="F6" s="8" t="inlineStr">
        <is>
          <t>%</t>
        </is>
      </c>
      <c r="G6" s="5" t="inlineStr">
        <is>
          <t>合同约定或法定利率(LPR倍数)</t>
        </is>
      </c>
    </row>
    <row r="7" ht="34" customHeight="1">
      <c r="A7" s="5" t="inlineStr">
        <is>
          <t>催收/诉讼成本</t>
        </is>
      </c>
      <c r="B7" s="5" t="inlineStr">
        <is>
          <t>直接处置成本(律师费/诉讼费/催收费等)</t>
        </is>
      </c>
      <c r="C7" s="7" t="n">
        <v>5000</v>
      </c>
      <c r="D7" s="7" t="n">
        <v>20000</v>
      </c>
      <c r="E7" s="7" t="n">
        <v>50000</v>
      </c>
      <c r="F7" s="8" t="inlineStr">
        <is>
          <t>元</t>
        </is>
      </c>
      <c r="G7" s="5" t="inlineStr">
        <is>
          <t>按处置方式估算</t>
        </is>
      </c>
    </row>
    <row r="8" ht="34" customHeight="1">
      <c r="A8" s="5" t="inlineStr">
        <is>
          <t>间接成本</t>
        </is>
      </c>
      <c r="B8" s="5" t="inlineStr">
        <is>
          <t>管理层时间/声誉损失/关系维护等</t>
        </is>
      </c>
      <c r="C8" s="7" t="n">
        <v>10000</v>
      </c>
      <c r="D8" s="7" t="n">
        <v>30000</v>
      </c>
      <c r="E8" s="7" t="n">
        <v>80000</v>
      </c>
      <c r="F8" s="8" t="inlineStr">
        <is>
          <t>元</t>
        </is>
      </c>
      <c r="G8" s="5" t="inlineStr">
        <is>
          <t>量化估计</t>
        </is>
      </c>
    </row>
    <row r="9" ht="34" customHeight="1">
      <c r="A9" s="5" t="inlineStr">
        <is>
          <t>机会成本率</t>
        </is>
      </c>
      <c r="B9" s="5" t="inlineStr">
        <is>
          <t>资金占用期间的机会成本年化率</t>
        </is>
      </c>
      <c r="C9" s="7" t="n">
        <v>0.08</v>
      </c>
      <c r="D9" s="7" t="n">
        <v>0.1</v>
      </c>
      <c r="E9" s="7" t="n">
        <v>0.15</v>
      </c>
      <c r="F9" s="8" t="inlineStr">
        <is>
          <t>%</t>
        </is>
      </c>
      <c r="G9" s="5" t="inlineStr">
        <is>
          <t>企业资金成本或投资回报率</t>
        </is>
      </c>
    </row>
    <row r="10" ht="34" customHeight="1">
      <c r="A10" s="5" t="inlineStr">
        <is>
          <t>保险赔付比例</t>
        </is>
      </c>
      <c r="B10" s="5" t="inlineStr">
        <is>
          <t>预计保险公司赔付比例(0=未投保)</t>
        </is>
      </c>
      <c r="C10" s="7" t="n">
        <v>0</v>
      </c>
      <c r="D10" s="7" t="n">
        <v>0.3</v>
      </c>
      <c r="E10" s="7" t="n">
        <v>0.6</v>
      </c>
      <c r="F10" s="8" t="inlineStr">
        <is>
          <t>%</t>
        </is>
      </c>
      <c r="G10" s="5" t="inlineStr">
        <is>
          <t>以保单条款为准</t>
        </is>
      </c>
    </row>
    <row r="11" ht="34" customHeight="1">
      <c r="A11" s="5" t="inlineStr">
        <is>
          <t>担保覆盖比例</t>
        </is>
      </c>
      <c r="B11" s="5" t="inlineStr">
        <is>
          <t>担保方可覆盖比例(0=无担保)</t>
        </is>
      </c>
      <c r="C11" s="7" t="n">
        <v>0</v>
      </c>
      <c r="D11" s="7" t="n">
        <v>0.2</v>
      </c>
      <c r="E11" s="7" t="n">
        <v>0.5</v>
      </c>
      <c r="F11" s="8" t="inlineStr">
        <is>
          <t>%</t>
        </is>
      </c>
      <c r="G11" s="5" t="inlineStr">
        <is>
          <t>以担保合同为准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16" customWidth="1" min="4" max="4"/>
    <col width="16" customWidth="1" min="5" max="5"/>
    <col width="10" customWidth="1" min="6" max="6"/>
    <col width="30" customWidth="1" min="7" max="7"/>
  </cols>
  <sheetData>
    <row r="1">
      <c r="A1" s="4" t="inlineStr">
        <is>
          <t>测算项目</t>
        </is>
      </c>
      <c r="B1" s="4" t="inlineStr">
        <is>
          <t>计算公式</t>
        </is>
      </c>
      <c r="C1" s="4" t="inlineStr">
        <is>
          <t>乐观情景</t>
        </is>
      </c>
      <c r="D1" s="4" t="inlineStr">
        <is>
          <t>基准情景</t>
        </is>
      </c>
      <c r="E1" s="4" t="inlineStr">
        <is>
          <t>悲观情景</t>
        </is>
      </c>
      <c r="F1" s="4" t="inlineStr">
        <is>
          <t>单位</t>
        </is>
      </c>
      <c r="G1" s="4" t="inlineStr">
        <is>
          <t>说明</t>
        </is>
      </c>
    </row>
    <row r="2" ht="30" customHeight="1">
      <c r="A2" s="5" t="inlineStr">
        <is>
          <t>逾期利息</t>
        </is>
      </c>
      <c r="B2" s="5" t="inlineStr">
        <is>
          <t>本金 × 逾期利率 × 逾期天数/360</t>
        </is>
      </c>
      <c r="C2" s="9">
        <f>参数输入!$C$2*参数输入!$C$6*参数输入!$C$5/360</f>
        <v/>
      </c>
      <c r="D2" s="9">
        <f>参数输入!$D$2*参数输入!$D$6*参数输入!$D$5/360</f>
        <v/>
      </c>
      <c r="E2" s="9">
        <f>参数输入!$E$2*参数输入!$E$6*参数输入!$E$5/360</f>
        <v/>
      </c>
      <c r="F2" s="8" t="inlineStr">
        <is>
          <t>元</t>
        </is>
      </c>
      <c r="G2" s="5" t="inlineStr">
        <is>
          <t>资金占用成本</t>
        </is>
      </c>
    </row>
    <row r="3" ht="30" customHeight="1">
      <c r="A3" s="5" t="inlineStr">
        <is>
          <t>违约风险敞口(EAD)</t>
        </is>
      </c>
      <c r="B3" s="5" t="inlineStr">
        <is>
          <t>本金</t>
        </is>
      </c>
      <c r="C3" s="9">
        <f>参数输入!$C$2</f>
        <v/>
      </c>
      <c r="D3" s="9">
        <f>参数输入!$D$2</f>
        <v/>
      </c>
      <c r="E3" s="9">
        <f>参数输入!$E$2</f>
        <v/>
      </c>
      <c r="F3" s="8" t="inlineStr">
        <is>
          <t>元</t>
        </is>
      </c>
      <c r="G3" s="5" t="inlineStr">
        <is>
          <t>面临损失的本金</t>
        </is>
      </c>
    </row>
    <row r="4" ht="30" customHeight="1">
      <c r="A4" s="5" t="inlineStr">
        <is>
          <t>预期损失(EL)</t>
        </is>
      </c>
      <c r="B4" s="5" t="inlineStr">
        <is>
          <t>EAD × PD × LGD</t>
        </is>
      </c>
      <c r="C4" s="9">
        <f>C3*参数输入!$C$3*参数输入!$C$4</f>
        <v/>
      </c>
      <c r="D4" s="9">
        <f>D3*参数输入!$D$3*参数输入!$D$4</f>
        <v/>
      </c>
      <c r="E4" s="9">
        <f>E3*参数输入!$E$3*参数输入!$E$4</f>
        <v/>
      </c>
      <c r="F4" s="8" t="inlineStr">
        <is>
          <t>元</t>
        </is>
      </c>
      <c r="G4" s="5" t="inlineStr">
        <is>
          <t>信用风险核心指标</t>
        </is>
      </c>
    </row>
    <row r="5" ht="30" customHeight="1">
      <c r="A5" s="5" t="inlineStr">
        <is>
          <t>催收/诉讼成本</t>
        </is>
      </c>
      <c r="B5" s="5" t="inlineStr">
        <is>
          <t>直接处置费用</t>
        </is>
      </c>
      <c r="C5" s="9">
        <f>参数输入!$C$7</f>
        <v/>
      </c>
      <c r="D5" s="9">
        <f>参数输入!$D$7</f>
        <v/>
      </c>
      <c r="E5" s="9">
        <f>参数输入!$E$7</f>
        <v/>
      </c>
      <c r="F5" s="8" t="inlineStr">
        <is>
          <t>元</t>
        </is>
      </c>
      <c r="G5" s="5" t="inlineStr">
        <is>
          <t>直接成本</t>
        </is>
      </c>
    </row>
    <row r="6" ht="30" customHeight="1">
      <c r="A6" s="5" t="inlineStr">
        <is>
          <t>间接成本</t>
        </is>
      </c>
      <c r="B6" s="5" t="inlineStr">
        <is>
          <t>管理层时间/声誉/关系等</t>
        </is>
      </c>
      <c r="C6" s="9">
        <f>参数输入!$C$8</f>
        <v/>
      </c>
      <c r="D6" s="9">
        <f>参数输入!$D$8</f>
        <v/>
      </c>
      <c r="E6" s="9">
        <f>参数输入!$E$8</f>
        <v/>
      </c>
      <c r="F6" s="8" t="inlineStr">
        <is>
          <t>元</t>
        </is>
      </c>
      <c r="G6" s="5" t="inlineStr">
        <is>
          <t>间接成本</t>
        </is>
      </c>
    </row>
    <row r="7" ht="30" customHeight="1">
      <c r="A7" s="5" t="inlineStr">
        <is>
          <t>机会成本</t>
        </is>
      </c>
      <c r="B7" s="5" t="inlineStr">
        <is>
          <t>本金 × 机会成本率 × 逾期天数/360</t>
        </is>
      </c>
      <c r="C7" s="9">
        <f>参数输入!$C$2*参数输入!$C$9*参数输入!$C$5/360</f>
        <v/>
      </c>
      <c r="D7" s="9">
        <f>参数输入!$D$2*参数输入!$D$9*参数输入!$D$5/360</f>
        <v/>
      </c>
      <c r="E7" s="9">
        <f>参数输入!$E$2*参数输入!$E$9*参数输入!$E$5/360</f>
        <v/>
      </c>
      <c r="F7" s="8" t="inlineStr">
        <is>
          <t>元</t>
        </is>
      </c>
      <c r="G7" s="5" t="inlineStr">
        <is>
          <t>资金占用机会成本</t>
        </is>
      </c>
    </row>
    <row r="8" ht="30" customHeight="1">
      <c r="A8" s="5" t="inlineStr">
        <is>
          <t>保险赔付</t>
        </is>
      </c>
      <c r="B8" s="5" t="inlineStr">
        <is>
          <t>预期损失 × 保险赔付比例</t>
        </is>
      </c>
      <c r="C8" s="9">
        <f>C4*参数输入!$C$10</f>
        <v/>
      </c>
      <c r="D8" s="9">
        <f>D4*参数输入!$D$10</f>
        <v/>
      </c>
      <c r="E8" s="9">
        <f>E4*参数输入!$E$10</f>
        <v/>
      </c>
      <c r="F8" s="8" t="inlineStr">
        <is>
          <t>元</t>
        </is>
      </c>
      <c r="G8" s="5" t="inlineStr">
        <is>
          <t>风险转移回收</t>
        </is>
      </c>
    </row>
    <row r="9" ht="30" customHeight="1">
      <c r="A9" s="5" t="inlineStr">
        <is>
          <t>担保回收</t>
        </is>
      </c>
      <c r="B9" s="5" t="inlineStr">
        <is>
          <t>预期损失 × 担保覆盖比例</t>
        </is>
      </c>
      <c r="C9" s="9">
        <f>C4*参数输入!$C$11</f>
        <v/>
      </c>
      <c r="D9" s="9">
        <f>D4*参数输入!$D$11</f>
        <v/>
      </c>
      <c r="E9" s="9">
        <f>E4*参数输入!$E$11</f>
        <v/>
      </c>
      <c r="F9" s="8" t="inlineStr">
        <is>
          <t>元</t>
        </is>
      </c>
      <c r="G9" s="5" t="inlineStr">
        <is>
          <t>担保方代偿</t>
        </is>
      </c>
    </row>
    <row r="10" ht="30" customHeight="1">
      <c r="A10" s="5" t="inlineStr">
        <is>
          <t>净预期损失</t>
        </is>
      </c>
      <c r="B10" s="5" t="inlineStr">
        <is>
          <t>预期损失 - 保险赔付 - 担保回收</t>
        </is>
      </c>
      <c r="C10" s="9">
        <f>C4-C8-C9</f>
        <v/>
      </c>
      <c r="D10" s="9">
        <f>D4-D8-D9</f>
        <v/>
      </c>
      <c r="E10" s="9">
        <f>E4-E8-E9</f>
        <v/>
      </c>
      <c r="F10" s="8" t="inlineStr">
        <is>
          <t>元</t>
        </is>
      </c>
      <c r="G10" s="5" t="inlineStr">
        <is>
          <t>扣除风险转移后的净损失</t>
        </is>
      </c>
    </row>
    <row r="11" ht="30" customHeight="1">
      <c r="A11" s="10" t="inlineStr">
        <is>
          <t>处置总成本</t>
        </is>
      </c>
      <c r="B11" s="10" t="inlineStr">
        <is>
          <t>净预期损失+催收+间接+机会成本+逾期利息</t>
        </is>
      </c>
      <c r="C11" s="11">
        <f>C10+C5+C6+C7+C2</f>
        <v/>
      </c>
      <c r="D11" s="11">
        <f>D10+D5+D6+D7+D2</f>
        <v/>
      </c>
      <c r="E11" s="11">
        <f>E10+E5+E6+E7+E2</f>
        <v/>
      </c>
      <c r="F11" s="12" t="inlineStr">
        <is>
          <t>元</t>
        </is>
      </c>
      <c r="G11" s="10" t="inlineStr">
        <is>
          <t>总处置成本</t>
        </is>
      </c>
    </row>
    <row r="12" ht="30" customHeight="1">
      <c r="A12" s="5" t="inlineStr">
        <is>
          <t>损失率</t>
        </is>
      </c>
      <c r="B12" s="5" t="inlineStr">
        <is>
          <t>处置总成本 / 本金</t>
        </is>
      </c>
      <c r="C12" s="13">
        <f>C11/C3</f>
        <v/>
      </c>
      <c r="D12" s="13">
        <f>D11/D3</f>
        <v/>
      </c>
      <c r="E12" s="13">
        <f>E11/E3</f>
        <v/>
      </c>
      <c r="F12" s="8" t="inlineStr">
        <is>
          <t>%</t>
        </is>
      </c>
      <c r="G12" s="5" t="inlineStr">
        <is>
          <t>损失占本金比例</t>
        </is>
      </c>
    </row>
    <row r="13" ht="30" customHeight="1">
      <c r="A13" s="5" t="inlineStr">
        <is>
          <t>回收金额</t>
        </is>
      </c>
      <c r="B13" s="5" t="inlineStr">
        <is>
          <t>本金 - 处置总成本</t>
        </is>
      </c>
      <c r="C13" s="9">
        <f>C3-C11</f>
        <v/>
      </c>
      <c r="D13" s="9">
        <f>D3-D11</f>
        <v/>
      </c>
      <c r="E13" s="9">
        <f>E3-E11</f>
        <v/>
      </c>
      <c r="F13" s="8" t="inlineStr">
        <is>
          <t>元</t>
        </is>
      </c>
      <c r="G13" s="5" t="inlineStr">
        <is>
          <t>预计可回收金额</t>
        </is>
      </c>
    </row>
    <row r="14" ht="30" customHeight="1">
      <c r="A14" s="5" t="inlineStr">
        <is>
          <t>回收率</t>
        </is>
      </c>
      <c r="B14" s="5" t="inlineStr">
        <is>
          <t>回收金额 / 本金</t>
        </is>
      </c>
      <c r="C14" s="13">
        <f>C13/C3</f>
        <v/>
      </c>
      <c r="D14" s="13">
        <f>D13/D3</f>
        <v/>
      </c>
      <c r="E14" s="13">
        <f>E13/E3</f>
        <v/>
      </c>
      <c r="F14" s="8" t="inlineStr">
        <is>
          <t>%</t>
        </is>
      </c>
      <c r="G14" s="5" t="inlineStr">
        <is>
          <t>预计回收比例</t>
        </is>
      </c>
    </row>
    <row r="15">
      <c r="A15" s="14" t="inlineStr">
        <is>
          <t>风险等级判定(按损失率)</t>
        </is>
      </c>
      <c r="B15" s="8" t="n"/>
      <c r="C15" s="8" t="n"/>
      <c r="D15" s="8" t="n"/>
      <c r="E15" s="8" t="n"/>
      <c r="F15" s="8" t="n"/>
      <c r="G15" s="8" t="n"/>
    </row>
    <row r="16">
      <c r="A16" s="15" t="inlineStr">
        <is>
          <t>乐观情景</t>
        </is>
      </c>
      <c r="B16" s="8">
        <f>IF(C12&lt;0.05,"低风险",IF(C12&lt;0.15,"中风险","高风险"))</f>
        <v/>
      </c>
    </row>
    <row r="17">
      <c r="A17" s="15" t="inlineStr">
        <is>
          <t>基准情景</t>
        </is>
      </c>
      <c r="B17" s="8">
        <f>IF(D12&lt;0.05,"低风险",IF(D12&lt;0.15,"中风险","高风险"))</f>
        <v/>
      </c>
    </row>
    <row r="18">
      <c r="A18" s="15" t="inlineStr">
        <is>
          <t>悲观情景</t>
        </is>
      </c>
      <c r="B18" s="8">
        <f>IF(E12&lt;0.05,"低风险",IF(E12&lt;0.15,"中风险","高风险"))</f>
        <v/>
      </c>
    </row>
    <row r="19">
      <c r="A19" s="16" t="inlineStr">
        <is>
          <t>阈值说明: 损失率&lt;5%低风险；5%-15%中风险；≥15%高风险</t>
        </is>
      </c>
    </row>
  </sheetData>
  <mergeCells count="2">
    <mergeCell ref="A19:G19"/>
    <mergeCell ref="A15:B15"/>
  </mergeCells>
  <conditionalFormatting sqref="B16">
    <cfRule type="expression" priority="1" dxfId="0">
      <formula>B16="高风险"</formula>
    </cfRule>
    <cfRule type="expression" priority="2" dxfId="1">
      <formula>B16="中风险"</formula>
    </cfRule>
    <cfRule type="expression" priority="3" dxfId="2">
      <formula>B16="低风险"</formula>
    </cfRule>
  </conditionalFormatting>
  <conditionalFormatting sqref="B17">
    <cfRule type="expression" priority="4" dxfId="0">
      <formula>B17="高风险"</formula>
    </cfRule>
    <cfRule type="expression" priority="5" dxfId="1">
      <formula>B17="中风险"</formula>
    </cfRule>
    <cfRule type="expression" priority="6" dxfId="2">
      <formula>B17="低风险"</formula>
    </cfRule>
  </conditionalFormatting>
  <conditionalFormatting sqref="B18">
    <cfRule type="expression" priority="7" dxfId="0">
      <formula>B18="高风险"</formula>
    </cfRule>
    <cfRule type="expression" priority="8" dxfId="1">
      <formula>B18="中风险"</formula>
    </cfRule>
    <cfRule type="expression" priority="9" dxfId="2">
      <formula>B18="低风险"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2" customWidth="1" min="4" max="4"/>
    <col width="38" customWidth="1" min="5" max="5"/>
  </cols>
  <sheetData>
    <row r="1">
      <c r="A1" s="4" t="inlineStr">
        <is>
          <t>项目</t>
        </is>
      </c>
      <c r="B1" s="4" t="inlineStr">
        <is>
          <t>字段</t>
        </is>
      </c>
      <c r="C1" s="4" t="inlineStr">
        <is>
          <t>数值</t>
        </is>
      </c>
      <c r="D1" s="4" t="inlineStr">
        <is>
          <t>单位</t>
        </is>
      </c>
      <c r="E1" s="4" t="inlineStr">
        <is>
          <t>说明</t>
        </is>
      </c>
    </row>
    <row r="2" ht="32" customHeight="1">
      <c r="A2" s="5" t="inlineStr">
        <is>
          <t>本金</t>
        </is>
      </c>
      <c r="B2" s="5" t="inlineStr">
        <is>
          <t>逾期本金/应收账款金额</t>
        </is>
      </c>
      <c r="C2" s="17" t="n">
        <v>1000000</v>
      </c>
      <c r="D2" s="8" t="inlineStr">
        <is>
          <t>元</t>
        </is>
      </c>
      <c r="E2" s="5" t="inlineStr">
        <is>
          <t>填写实际金额</t>
        </is>
      </c>
    </row>
    <row r="3" ht="32" customHeight="1">
      <c r="A3" s="5" t="inlineStr">
        <is>
          <t>逾期利率</t>
        </is>
      </c>
      <c r="B3" s="5" t="inlineStr">
        <is>
          <t>年化利率(小数或%)</t>
        </is>
      </c>
      <c r="C3" s="18" t="n">
        <v>0.15</v>
      </c>
      <c r="D3" s="8" t="inlineStr">
        <is>
          <t>%</t>
        </is>
      </c>
      <c r="E3" s="5" t="inlineStr">
        <is>
          <t>合同约定利率或LPR倍数</t>
        </is>
      </c>
    </row>
    <row r="4" ht="32" customHeight="1">
      <c r="A4" s="5" t="inlineStr">
        <is>
          <t>逾期天数</t>
        </is>
      </c>
      <c r="B4" s="5" t="inlineStr">
        <is>
          <t>从到期日到预计回收日</t>
        </is>
      </c>
      <c r="C4" s="18" t="n">
        <v>90</v>
      </c>
      <c r="D4" s="8" t="inlineStr">
        <is>
          <t>天</t>
        </is>
      </c>
      <c r="E4" s="5" t="inlineStr">
        <is>
          <t>实际逾期天数</t>
        </is>
      </c>
    </row>
    <row r="6" ht="32" customHeight="1">
      <c r="A6" s="19" t="inlineStr">
        <is>
          <t>计算结果</t>
        </is>
      </c>
      <c r="B6" s="5" t="inlineStr"/>
      <c r="C6" s="8" t="inlineStr"/>
      <c r="D6" s="8" t="inlineStr"/>
      <c r="E6" s="5" t="inlineStr"/>
    </row>
    <row r="7" ht="32" customHeight="1">
      <c r="A7" s="5" t="inlineStr">
        <is>
          <t>逾期利息</t>
        </is>
      </c>
      <c r="B7" s="5" t="inlineStr">
        <is>
          <t>本金 × 利率 × 天数/360</t>
        </is>
      </c>
      <c r="C7" s="9">
        <f>C2*C3*C4/360</f>
        <v/>
      </c>
      <c r="D7" s="8" t="inlineStr">
        <is>
          <t>元</t>
        </is>
      </c>
      <c r="E7" s="5" t="inlineStr">
        <is>
          <t>银行惯例360天计息</t>
        </is>
      </c>
    </row>
    <row r="8" ht="32" customHeight="1">
      <c r="A8" s="5" t="inlineStr">
        <is>
          <t>本息合计</t>
        </is>
      </c>
      <c r="B8" s="5" t="inlineStr">
        <is>
          <t>本金 + 逾期利息</t>
        </is>
      </c>
      <c r="C8" s="9">
        <f>C2+C7</f>
        <v/>
      </c>
      <c r="D8" s="8" t="inlineStr">
        <is>
          <t>元</t>
        </is>
      </c>
      <c r="E8" s="5" t="inlineStr">
        <is>
          <t>含本金总金额</t>
        </is>
      </c>
    </row>
    <row r="9" ht="32" customHeight="1">
      <c r="A9" s="5" t="inlineStr">
        <is>
          <t>日利息</t>
        </is>
      </c>
      <c r="B9" s="5" t="inlineStr">
        <is>
          <t>逾期利息 / 逾期天数</t>
        </is>
      </c>
      <c r="C9" s="9">
        <f>C7/C4</f>
        <v/>
      </c>
      <c r="D9" s="8" t="inlineStr">
        <is>
          <t>元/天</t>
        </is>
      </c>
      <c r="E9" s="5" t="inlineStr">
        <is>
          <t>每日资金占用成本</t>
        </is>
      </c>
    </row>
    <row r="10" ht="32" customHeight="1">
      <c r="A10" s="5" t="inlineStr">
        <is>
          <t>月利息</t>
        </is>
      </c>
      <c r="B10" s="5" t="inlineStr">
        <is>
          <t>日利息 × 30</t>
        </is>
      </c>
      <c r="C10" s="9">
        <f>C9*30</f>
        <v/>
      </c>
      <c r="D10" s="8" t="inlineStr">
        <is>
          <t>元/月</t>
        </is>
      </c>
      <c r="E10" s="5" t="inlineStr">
        <is>
          <t>每月资金占用成本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4" customWidth="1" min="5" max="5"/>
    <col width="46" customWidth="1" min="6" max="6"/>
  </cols>
  <sheetData>
    <row r="1">
      <c r="A1" s="4" t="inlineStr">
        <is>
          <t>对比维度</t>
        </is>
      </c>
      <c r="B1" s="4" t="inlineStr">
        <is>
          <t>乐观情景</t>
        </is>
      </c>
      <c r="C1" s="4" t="inlineStr">
        <is>
          <t>基准情景</t>
        </is>
      </c>
      <c r="D1" s="4" t="inlineStr">
        <is>
          <t>悲观情景</t>
        </is>
      </c>
      <c r="E1" s="4" t="inlineStr">
        <is>
          <t>差异分析</t>
        </is>
      </c>
      <c r="F1" s="4" t="inlineStr">
        <is>
          <t>决策建议</t>
        </is>
      </c>
    </row>
    <row r="2" ht="38" customHeight="1">
      <c r="A2" s="5" t="inlineStr">
        <is>
          <t>处置总成本</t>
        </is>
      </c>
      <c r="B2" s="9">
        <f>损失测算结果!C11</f>
        <v/>
      </c>
      <c r="C2" s="9">
        <f>损失测算结果!D11</f>
        <v/>
      </c>
      <c r="D2" s="9">
        <f>损失测算结果!E11</f>
        <v/>
      </c>
      <c r="E2" s="5" t="inlineStr">
        <is>
          <t>悲观 vs 乐观差额</t>
        </is>
      </c>
      <c r="F2" s="5" t="inlineStr">
        <is>
          <t>悲观总成本&gt;本金的20%时，考虑打折和解或债务重组</t>
        </is>
      </c>
    </row>
    <row r="3" ht="38" customHeight="1">
      <c r="A3" s="5" t="inlineStr">
        <is>
          <t>回收金额</t>
        </is>
      </c>
      <c r="B3" s="9">
        <f>损失测算结果!C13</f>
        <v/>
      </c>
      <c r="C3" s="9">
        <f>损失测算结果!D13</f>
        <v/>
      </c>
      <c r="D3" s="9">
        <f>损失测算结果!E13</f>
        <v/>
      </c>
      <c r="E3" s="5" t="inlineStr">
        <is>
          <t>悲观 vs 乐观差额</t>
        </is>
      </c>
      <c r="F3" s="5" t="inlineStr">
        <is>
          <t>回收金额&lt;本金的50%时，优先保住核心客户关系</t>
        </is>
      </c>
    </row>
    <row r="4" ht="38" customHeight="1">
      <c r="A4" s="5" t="inlineStr">
        <is>
          <t>回收率</t>
        </is>
      </c>
      <c r="B4" s="13">
        <f>损失测算结果!C14</f>
        <v/>
      </c>
      <c r="C4" s="13">
        <f>损失测算结果!D14</f>
        <v/>
      </c>
      <c r="D4" s="13">
        <f>损失测算结果!E14</f>
        <v/>
      </c>
      <c r="E4" s="5" t="inlineStr">
        <is>
          <t>悲观 vs 乐观差额</t>
        </is>
      </c>
      <c r="F4" s="5" t="inlineStr">
        <is>
          <t>回收率&lt;30%时，考虑债务重组或债转股</t>
        </is>
      </c>
    </row>
    <row r="5" ht="38" customHeight="1">
      <c r="A5" s="5" t="inlineStr">
        <is>
          <t>净预期损失</t>
        </is>
      </c>
      <c r="B5" s="9">
        <f>损失测算结果!C10</f>
        <v/>
      </c>
      <c r="C5" s="9">
        <f>损失测算结果!D10</f>
        <v/>
      </c>
      <c r="D5" s="9">
        <f>损失测算结果!E10</f>
        <v/>
      </c>
      <c r="E5" s="5" t="inlineStr">
        <is>
          <t>悲观 vs 乐观差额</t>
        </is>
      </c>
      <c r="F5" s="5" t="inlineStr">
        <is>
          <t>净损失&gt;年利润10%时，启动专项止损程序</t>
        </is>
      </c>
    </row>
    <row r="6" ht="38" customHeight="1">
      <c r="A6" s="5" t="inlineStr">
        <is>
          <t>建议止损线</t>
        </is>
      </c>
      <c r="B6" s="9">
        <f>参数输入!$C$2*0.15</f>
        <v/>
      </c>
      <c r="C6" s="9">
        <f>参数输入!$D$2*0.30</f>
        <v/>
      </c>
      <c r="D6" s="9">
        <f>参数输入!$E$2*0.50</f>
        <v/>
      </c>
      <c r="E6" s="5" t="inlineStr">
        <is>
          <t>止损阈值设定</t>
        </is>
      </c>
      <c r="F6" s="5" t="inlineStr">
        <is>
          <t>达到止损线果断决策，避免延迟处置导致成本指数增长</t>
        </is>
      </c>
    </row>
    <row r="7" ht="38" customHeight="1">
      <c r="A7" s="5" t="inlineStr">
        <is>
          <t>处置策略建议</t>
        </is>
      </c>
      <c r="B7" s="20" t="inlineStr">
        <is>
          <t>正常催收(发函+电话跟进)</t>
        </is>
      </c>
      <c r="C7" s="20" t="inlineStr">
        <is>
          <t>加强催收+法律手段(保全/诉讼)</t>
        </is>
      </c>
      <c r="D7" s="20" t="inlineStr">
        <is>
          <t>评估放弃/重组/转让债权的期权</t>
        </is>
      </c>
      <c r="E7" s="5" t="inlineStr">
        <is>
          <t>拖延成本指数增长</t>
        </is>
      </c>
      <c r="F7" s="5" t="inlineStr">
        <is>
          <t>参考《黑天鹅》: 拖延是最大的成本，尽早处置优于观察</t>
        </is>
      </c>
      <c r="G7" s="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2026-09-14T07:38:56Z</dcterms:created>
  <dcterms:modified xmlns:dcterms="http://purl.org/dc/terms/" xmlns:xsi="http://www.w3.org/2001/XMLSchema-instance" xsi:type="dcterms:W3CDTF">2026-09-14T07:38:56Z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value1","ContentProducer":"001191110000802100433B11010001191110000802100433B11010","ProduceID":"c0ca0629-0f6d-4a22-b5f1-54fa1c4e2c42","ReservedCode1":"72dafc97cd38b92e5f3d5cdfd0dfbbe6","ContentPropagator":"001191110000802100433B11010001191110000802100433B11010","PropagateID":"6f0ba3ba-80e6-4267-a13f-d56abe96dfcc","ReservedCode2":"2734827274df537123a472bf4de01eb5"}</vt:lpwstr>
  </property>
</Properties>
</file>